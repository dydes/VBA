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trlProps/ctrlProp1.xml" ContentType="application/vnd.ms-excel.controlproperties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会通\VBA\添加气泡图\"/>
    </mc:Choice>
  </mc:AlternateContent>
  <xr:revisionPtr revIDLastSave="0" documentId="13_ncr:1_{544A3F2E-2913-488F-AAA7-1276BDFE02F4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频数图" sheetId="5" r:id="rId1"/>
    <sheet name="饼图" sheetId="3" r:id="rId2"/>
    <sheet name="柱图" sheetId="6" r:id="rId3"/>
    <sheet name="雷达图" sheetId="2" r:id="rId4"/>
    <sheet name="气泡图" sheetId="1" r:id="rId5"/>
  </sheets>
  <externalReferences>
    <externalReference r:id="rId6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1" l="1"/>
  <c r="D11" i="1"/>
  <c r="B11" i="1"/>
  <c r="D25" i="5"/>
  <c r="G21" i="5"/>
  <c r="F21" i="5"/>
  <c r="E21" i="5"/>
  <c r="D21" i="5"/>
  <c r="G20" i="5"/>
  <c r="F20" i="5"/>
  <c r="E20" i="5"/>
  <c r="D20" i="5"/>
  <c r="G19" i="5"/>
  <c r="F19" i="5"/>
  <c r="E19" i="5"/>
  <c r="D19" i="5"/>
  <c r="G18" i="5"/>
  <c r="F18" i="5"/>
  <c r="E18" i="5"/>
  <c r="D18" i="5"/>
  <c r="G17" i="5"/>
  <c r="F17" i="5"/>
  <c r="E17" i="5"/>
  <c r="D17" i="5"/>
  <c r="G16" i="5"/>
  <c r="F16" i="5"/>
  <c r="E16" i="5"/>
  <c r="D16" i="5"/>
  <c r="G15" i="5"/>
  <c r="F15" i="5"/>
  <c r="E15" i="5"/>
  <c r="D15" i="5"/>
  <c r="G14" i="5"/>
  <c r="F14" i="5"/>
  <c r="E14" i="5"/>
  <c r="D14" i="5"/>
  <c r="B14" i="5"/>
</calcChain>
</file>

<file path=xl/sharedStrings.xml><?xml version="1.0" encoding="utf-8"?>
<sst xmlns="http://schemas.openxmlformats.org/spreadsheetml/2006/main" count="62" uniqueCount="56">
  <si>
    <t>2024年12月陈二龙公司各门店销售收入统计</t>
  </si>
  <si>
    <t>销售收入</t>
  </si>
  <si>
    <t>组中值</t>
  </si>
  <si>
    <t>组距</t>
  </si>
  <si>
    <t>频数</t>
  </si>
  <si>
    <t>百分数</t>
  </si>
  <si>
    <t>向下累计频数</t>
  </si>
  <si>
    <t>向下累计百分比</t>
  </si>
  <si>
    <t>90-120</t>
  </si>
  <si>
    <t>120-150</t>
  </si>
  <si>
    <t>150-180</t>
  </si>
  <si>
    <t>180-210</t>
  </si>
  <si>
    <t>210-240</t>
  </si>
  <si>
    <t>240-270</t>
  </si>
  <si>
    <t>270-300</t>
  </si>
  <si>
    <t>300-330</t>
  </si>
  <si>
    <t>当你购买逾2万元的电子产品时</t>
  </si>
  <si>
    <t>企业利润</t>
  </si>
  <si>
    <t>加工成本</t>
  </si>
  <si>
    <t>原材料成本</t>
  </si>
  <si>
    <t>北京</t>
  </si>
  <si>
    <t>上海</t>
  </si>
  <si>
    <t>深圳</t>
  </si>
  <si>
    <t>广州</t>
  </si>
  <si>
    <t>投入</t>
  </si>
  <si>
    <t>不投入</t>
  </si>
  <si>
    <t>极不投入</t>
  </si>
  <si>
    <t>汽车销售公司人才潜力分析</t>
  </si>
  <si>
    <t>激情</t>
  </si>
  <si>
    <t>沟通</t>
  </si>
  <si>
    <t>创新</t>
  </si>
  <si>
    <t>尽责</t>
  </si>
  <si>
    <t>华北</t>
  </si>
  <si>
    <t>华南</t>
  </si>
  <si>
    <t>西北</t>
  </si>
  <si>
    <t>西南</t>
  </si>
  <si>
    <t>东北</t>
  </si>
  <si>
    <t>汽车销售公司人才矩阵</t>
  </si>
  <si>
    <t>区域</t>
  </si>
  <si>
    <t>业绩</t>
  </si>
  <si>
    <t>潜力</t>
  </si>
  <si>
    <t>职位</t>
  </si>
  <si>
    <t>海南</t>
  </si>
  <si>
    <t>台湾</t>
  </si>
  <si>
    <t>香港</t>
  </si>
  <si>
    <t>气泡图名称</t>
    <phoneticPr fontId="2" type="noConversion"/>
  </si>
  <si>
    <t>陈二龙公司人才矩阵</t>
  </si>
  <si>
    <t>x轴交叉值</t>
    <phoneticPr fontId="2" type="noConversion"/>
  </si>
  <si>
    <t>y轴交叉值</t>
    <phoneticPr fontId="2" type="noConversion"/>
  </si>
  <si>
    <t>地区1</t>
    <phoneticPr fontId="2" type="noConversion"/>
  </si>
  <si>
    <t>x轴</t>
    <phoneticPr fontId="2" type="noConversion"/>
  </si>
  <si>
    <t>最小值</t>
    <phoneticPr fontId="2" type="noConversion"/>
  </si>
  <si>
    <t>坐标轴参数</t>
    <phoneticPr fontId="2" type="noConversion"/>
  </si>
  <si>
    <t>最大值</t>
    <phoneticPr fontId="2" type="noConversion"/>
  </si>
  <si>
    <t>步长</t>
    <phoneticPr fontId="2" type="noConversion"/>
  </si>
  <si>
    <t>y轴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</si>
</sst>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6" x14ac:knownFonts="1">
    <font>
      <sz val="11"/>
      <color theme="1"/>
      <name val="宋体"/>
      <charset val="134"/>
      <scheme val="minor"/>
    </font>
    <font>
      <sz val="9"/>
      <color theme="1"/>
      <name val="Times New Roman"/>
      <family val="1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0" borderId="2" xfId="0" applyFont="1" applyBorder="1" applyAlignment="1">
      <alignment horizontal="right" vertical="center" wrapText="1"/>
    </xf>
    <xf numFmtId="0" fontId="1" fillId="0" borderId="0" xfId="0" applyFont="1" applyAlignment="1">
      <alignment horizontal="right" vertical="center" wrapText="1"/>
    </xf>
    <xf numFmtId="176" fontId="1" fillId="0" borderId="0" xfId="0" applyNumberFormat="1" applyFont="1" applyAlignment="1">
      <alignment horizontal="right" vertical="center" wrapText="1"/>
    </xf>
    <xf numFmtId="0" fontId="3" fillId="0" borderId="0" xfId="0" applyFont="1">
      <alignment vertical="center"/>
    </xf>
    <xf numFmtId="0" fontId="3" fillId="0" borderId="3" xfId="0" applyFont="1" applyBorder="1">
      <alignment vertical="center"/>
    </xf>
    <xf numFmtId="0" fontId="0" fillId="0" borderId="3" xfId="0" applyBorder="1">
      <alignment vertical="center"/>
    </xf>
    <xf numFmtId="0" fontId="0" fillId="0" borderId="3" xfId="0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29"/>
    </mc:Choice>
    <mc:Fallback>
      <c:style val="29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2024</a:t>
            </a:r>
            <a:r>
              <a:rPr lang="zh-CN" sz="1400"/>
              <a:t>年</a:t>
            </a:r>
            <a:r>
              <a:rPr lang="en-US" altLang="zh-CN" sz="1400"/>
              <a:t>12</a:t>
            </a:r>
            <a:r>
              <a:rPr lang="zh-CN" altLang="en-US" sz="1400"/>
              <a:t>月</a:t>
            </a:r>
            <a:r>
              <a:rPr lang="zh-CN" altLang="en-US" sz="1400" b="1" i="0" u="none" strike="noStrike" baseline="0"/>
              <a:t>陈二龙</a:t>
            </a:r>
            <a:r>
              <a:rPr lang="zh-CN" sz="1400"/>
              <a:t>公司各门店销售收入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频数图!$E$13</c:f>
              <c:strCache>
                <c:ptCount val="1"/>
                <c:pt idx="0">
                  <c:v>百分数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poly"/>
            <c:order val="2"/>
            <c:dispRSqr val="0"/>
            <c:dispEq val="0"/>
          </c:trendline>
          <c:cat>
            <c:strRef>
              <c:f>频数图!$A$14:$A$21</c:f>
              <c:strCache>
                <c:ptCount val="8"/>
                <c:pt idx="0">
                  <c:v>90-120</c:v>
                </c:pt>
                <c:pt idx="1">
                  <c:v>120-150</c:v>
                </c:pt>
                <c:pt idx="2">
                  <c:v>150-180</c:v>
                </c:pt>
                <c:pt idx="3">
                  <c:v>180-210</c:v>
                </c:pt>
                <c:pt idx="4">
                  <c:v>210-240</c:v>
                </c:pt>
                <c:pt idx="5">
                  <c:v>240-270</c:v>
                </c:pt>
                <c:pt idx="6">
                  <c:v>270-300</c:v>
                </c:pt>
                <c:pt idx="7">
                  <c:v>300-330</c:v>
                </c:pt>
              </c:strCache>
            </c:strRef>
          </c:cat>
          <c:val>
            <c:numRef>
              <c:f>频数图!$E$14:$E$21</c:f>
              <c:numCache>
                <c:formatCode>0.0%</c:formatCode>
                <c:ptCount val="8"/>
                <c:pt idx="0">
                  <c:v>0</c:v>
                </c:pt>
                <c:pt idx="1">
                  <c:v>3.3333333333333298E-2</c:v>
                </c:pt>
                <c:pt idx="2">
                  <c:v>0.17499999999999999</c:v>
                </c:pt>
                <c:pt idx="3">
                  <c:v>0.28333333333333299</c:v>
                </c:pt>
                <c:pt idx="4">
                  <c:v>0.18333333333333299</c:v>
                </c:pt>
                <c:pt idx="5">
                  <c:v>0.16666666666666699</c:v>
                </c:pt>
                <c:pt idx="6">
                  <c:v>0.1</c:v>
                </c:pt>
                <c:pt idx="7">
                  <c:v>5.83333333333333E-2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8F-4847-8A0D-E5D45B686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89717504"/>
        <c:axId val="189465728"/>
      </c:barChart>
      <c:catAx>
        <c:axId val="189717504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>
                  <a:defRPr lang="zh-CN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/>
                  <a:t>销售收入分组</a:t>
                </a:r>
                <a:endParaRPr lang="en-US"/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9465728"/>
        <c:crosses val="autoZero"/>
        <c:auto val="1"/>
        <c:lblAlgn val="ctr"/>
        <c:lblOffset val="100"/>
        <c:noMultiLvlLbl val="0"/>
      </c:catAx>
      <c:valAx>
        <c:axId val="189465728"/>
        <c:scaling>
          <c:orientation val="minMax"/>
        </c:scaling>
        <c:delete val="0"/>
        <c:axPos val="l"/>
        <c:title>
          <c:tx>
            <c:rich>
              <a:bodyPr rot="-5400000" spcFirstLastPara="0" vertOverflow="ellipsis" vert="horz" wrap="square" anchor="ctr" anchorCtr="1"/>
              <a:lstStyle/>
              <a:p>
                <a:pPr>
                  <a:defRPr lang="zh-CN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/>
                  <a:t>百分数</a:t>
                </a:r>
              </a:p>
            </c:rich>
          </c:tx>
          <c:overlay val="0"/>
        </c:title>
        <c:numFmt formatCode="0.0%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971750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当你购买逾</a:t>
            </a:r>
            <a:r>
              <a:rPr lang="en-US" altLang="zh-CN"/>
              <a:t>2</a:t>
            </a:r>
            <a:r>
              <a:rPr lang="zh-CN" altLang="en-US"/>
              <a:t>万元的电子产品时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explosion val="25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CB4-4E2E-BEE2-E56FA70E3C9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BCB4-4E2E-BEE2-E56FA70E3C9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BCB4-4E2E-BEE2-E56FA70E3C9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zh-CN" altLang="en-US"/>
                      <a:t>企业利润
</a:t>
                    </a:r>
                    <a:r>
                      <a:rPr lang="en-US" altLang="zh-CN"/>
                      <a:t>13162.5</a:t>
                    </a:r>
                  </a:p>
                </c:rich>
              </c:tx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BCB4-4E2E-BEE2-E56FA70E3C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zh-CN" altLang="en-US"/>
                      <a:t>加工成本
</a:t>
                    </a:r>
                    <a:r>
                      <a:rPr lang="en-US" altLang="zh-CN"/>
                      <a:t>3255</a:t>
                    </a:r>
                  </a:p>
                </c:rich>
              </c:tx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BCB4-4E2E-BEE2-E56FA70E3C9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zh-CN" altLang="en-US"/>
                      <a:t>原材料成本
</a:t>
                    </a:r>
                    <a:r>
                      <a:rPr lang="en-US" altLang="zh-CN"/>
                      <a:t>7198.5</a:t>
                    </a:r>
                  </a:p>
                </c:rich>
              </c:tx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BCB4-4E2E-BEE2-E56FA70E3C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[1]饼图2!$B$2:$B$4</c:f>
              <c:numCache>
                <c:formatCode>General</c:formatCode>
                <c:ptCount val="3"/>
                <c:pt idx="0">
                  <c:v>11000</c:v>
                </c:pt>
                <c:pt idx="1">
                  <c:v>4000</c:v>
                </c:pt>
                <c:pt idx="2">
                  <c:v>6000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[1]饼图2!$A$2:$A$4</c15:sqref>
                        </c15:formulaRef>
                      </c:ext>
                    </c:extLst>
                    <c:strCache>
                      <c:ptCount val="3"/>
                      <c:pt idx="0">
                        <c:v>政府所得</c:v>
                      </c:pt>
                      <c:pt idx="1">
                        <c:v>固定成本</c:v>
                      </c:pt>
                      <c:pt idx="2">
                        <c:v>房企所得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BCB4-4E2E-BEE2-E56FA70E3C9E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spPr>
    <a:ln w="9525" cap="flat" cmpd="sng" algn="ctr">
      <a:noFill/>
      <a:prstDash val="solid"/>
      <a:round/>
    </a:ln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800" b="1" i="0" baseline="0">
                <a:effectLst/>
              </a:rPr>
              <a:t>当你购买逾</a:t>
            </a:r>
            <a:r>
              <a:rPr lang="en-US" altLang="zh-CN" sz="1800" b="1" i="0" baseline="0">
                <a:effectLst/>
              </a:rPr>
              <a:t>2</a:t>
            </a:r>
            <a:r>
              <a:rPr lang="zh-CN" altLang="zh-CN" sz="1800" b="1" i="0" baseline="0">
                <a:effectLst/>
              </a:rPr>
              <a:t>万元的电子产品时</a:t>
            </a:r>
            <a:endParaRPr lang="zh-CN" altLang="zh-CN">
              <a:effectLst/>
            </a:endParaRP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explosion val="25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0735-46DC-9B08-53A5D85568C9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0735-46DC-9B08-53A5D85568C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0735-46DC-9B08-53A5D85568C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8B82BB5-9E8C-45D8-A583-B1F749CC3EB3}" type="SERIESNAME">
                      <a:rPr lang="zh-CN" altLang="en-US"/>
                      <a:pPr/>
                      <a:t>[系列名称]</a:t>
                    </a:fld>
                    <a:r>
                      <a:t>,</a:t>
                    </a:r>
                    <a:fld id="{DBE65397-8994-48E4-8A94-52242780C51C}" type="CATEGORYNAME">
                      <a:rPr lang="zh-CN" altLang="en-US"/>
                      <a:pPr/>
                      <a:t>[类别名称]</a:t>
                    </a:fld>
                    <a:endParaRPr/>
                  </a:p>
                </c:rich>
              </c:tx>
              <c:dLblPos val="bestFit"/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0735-46DC-9B08-53A5D85568C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AC1D888-DD97-417C-BC6C-82B4E3359FA9}" type="SERIESNAME">
                      <a:rPr lang="zh-CN" altLang="en-US"/>
                      <a:pPr/>
                      <a:t>[系列名称]</a:t>
                    </a:fld>
                    <a:r>
                      <a:t>,</a:t>
                    </a:r>
                    <a:fld id="{32BB6EB7-D2D4-4FE8-83F3-4714DBAA175A}" type="CATEGORYNAME">
                      <a:rPr lang="zh-CN" altLang="en-US"/>
                      <a:pPr/>
                      <a:t>[类别名称]</a:t>
                    </a:fld>
                    <a:endParaRPr/>
                  </a:p>
                </c:rich>
              </c:tx>
              <c:dLblPos val="bestFit"/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0735-46DC-9B08-53A5D85568C9}"/>
                </c:ext>
              </c:extLst>
            </c:dLbl>
            <c:dLbl>
              <c:idx val="2"/>
              <c:layout>
                <c:manualLayout>
                  <c:x val="0.168634064080944"/>
                  <c:y val="0.13745781777277799"/>
                </c:manualLayout>
              </c:layout>
              <c:tx>
                <c:rich>
                  <a:bodyPr rot="0" spcFirstLastPara="0" vertOverflow="ellipsis" vert="horz" wrap="square" lIns="38100" tIns="19050" rIns="38100" bIns="19050" anchor="ctr" anchorCtr="1">
                    <a:noAutofit/>
                  </a:bodyPr>
                  <a:lstStyle/>
                  <a:p>
                    <a:fld id="{2DFE7E10-370A-4A26-A3E9-A7258DBD2CD4}" type="SERIESNAME">
                      <a:rPr lang="zh-CN" altLang="en-US"/>
                      <a:pPr/>
                      <a:t>[系列名称]</a:t>
                    </a:fld>
                    <a:r>
                      <a:t>,</a:t>
                    </a:r>
                    <a:fld id="{AAE40488-2EE8-418F-9A64-738BF63E97F1}" type="CATEGORYNAME">
                      <a:rPr lang="zh-CN" altLang="en-US"/>
                      <a:pPr/>
                      <a:t>[类别名称]</a:t>
                    </a:fld>
                    <a:endParaRPr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estFit"/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81664878123563"/>
                      <c:h val="0.11740331491712699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0735-46DC-9B08-53A5D85568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bestFit"/>
            <c:showLegendKey val="0"/>
            <c:showVal val="0"/>
            <c:showCatName val="1"/>
            <c:showSerName val="1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[1]饼图2!$C$2:$C$4</c:f>
              <c:numCache>
                <c:formatCode>General</c:formatCode>
                <c:ptCount val="3"/>
                <c:pt idx="0">
                  <c:v>13162.5</c:v>
                </c:pt>
                <c:pt idx="1">
                  <c:v>3255</c:v>
                </c:pt>
                <c:pt idx="2">
                  <c:v>7198.5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[1]饼图2!$A$2:$A$4</c15:sqref>
                        </c15:formulaRef>
                      </c:ext>
                    </c:extLst>
                    <c:strCache>
                      <c:ptCount val="3"/>
                      <c:pt idx="0">
                        <c:v>政府所得</c:v>
                      </c:pt>
                      <c:pt idx="1">
                        <c:v>固定成本</c:v>
                      </c:pt>
                      <c:pt idx="2">
                        <c:v>房企所得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0735-46DC-9B08-53A5D85568C9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 w="9525" cap="flat" cmpd="sng" algn="ctr">
      <a:noFill/>
      <a:prstDash val="solid"/>
      <a:round/>
    </a:ln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柱图!$A$2</c:f>
              <c:strCache>
                <c:ptCount val="1"/>
                <c:pt idx="0">
                  <c:v>投入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柱图!$B$1:$E$1</c:f>
              <c:strCache>
                <c:ptCount val="4"/>
                <c:pt idx="0">
                  <c:v>北京</c:v>
                </c:pt>
                <c:pt idx="1">
                  <c:v>上海</c:v>
                </c:pt>
                <c:pt idx="2">
                  <c:v>深圳</c:v>
                </c:pt>
                <c:pt idx="3">
                  <c:v>广州</c:v>
                </c:pt>
              </c:strCache>
            </c:strRef>
          </c:cat>
          <c:val>
            <c:numRef>
              <c:f>柱图!$B$2:$E$2</c:f>
              <c:numCache>
                <c:formatCode>General</c:formatCode>
                <c:ptCount val="4"/>
                <c:pt idx="0">
                  <c:v>30</c:v>
                </c:pt>
                <c:pt idx="1">
                  <c:v>17</c:v>
                </c:pt>
                <c:pt idx="2">
                  <c:v>16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98E-8F82-1EB07F1479B4}"/>
            </c:ext>
          </c:extLst>
        </c:ser>
        <c:ser>
          <c:idx val="1"/>
          <c:order val="1"/>
          <c:tx>
            <c:strRef>
              <c:f>柱图!$A$3</c:f>
              <c:strCache>
                <c:ptCount val="1"/>
                <c:pt idx="0">
                  <c:v>不投入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柱图!$B$1:$E$1</c:f>
              <c:strCache>
                <c:ptCount val="4"/>
                <c:pt idx="0">
                  <c:v>北京</c:v>
                </c:pt>
                <c:pt idx="1">
                  <c:v>上海</c:v>
                </c:pt>
                <c:pt idx="2">
                  <c:v>深圳</c:v>
                </c:pt>
                <c:pt idx="3">
                  <c:v>广州</c:v>
                </c:pt>
              </c:strCache>
            </c:strRef>
          </c:cat>
          <c:val>
            <c:numRef>
              <c:f>柱图!$B$3:$E$3</c:f>
              <c:numCache>
                <c:formatCode>General</c:formatCode>
                <c:ptCount val="4"/>
                <c:pt idx="0">
                  <c:v>54</c:v>
                </c:pt>
                <c:pt idx="1">
                  <c:v>63</c:v>
                </c:pt>
                <c:pt idx="2">
                  <c:v>69</c:v>
                </c:pt>
                <c:pt idx="3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E4-498E-8F82-1EB07F1479B4}"/>
            </c:ext>
          </c:extLst>
        </c:ser>
        <c:ser>
          <c:idx val="2"/>
          <c:order val="2"/>
          <c:tx>
            <c:strRef>
              <c:f>柱图!$A$4</c:f>
              <c:strCache>
                <c:ptCount val="1"/>
                <c:pt idx="0">
                  <c:v>极不投入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柱图!$B$1:$E$1</c:f>
              <c:strCache>
                <c:ptCount val="4"/>
                <c:pt idx="0">
                  <c:v>北京</c:v>
                </c:pt>
                <c:pt idx="1">
                  <c:v>上海</c:v>
                </c:pt>
                <c:pt idx="2">
                  <c:v>深圳</c:v>
                </c:pt>
                <c:pt idx="3">
                  <c:v>广州</c:v>
                </c:pt>
              </c:strCache>
            </c:strRef>
          </c:cat>
          <c:val>
            <c:numRef>
              <c:f>柱图!$B$4:$E$4</c:f>
              <c:numCache>
                <c:formatCode>General</c:formatCode>
                <c:ptCount val="4"/>
                <c:pt idx="0">
                  <c:v>16</c:v>
                </c:pt>
                <c:pt idx="1">
                  <c:v>20</c:v>
                </c:pt>
                <c:pt idx="2">
                  <c:v>15</c:v>
                </c:pt>
                <c:pt idx="3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E4-498E-8F82-1EB07F147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1361024"/>
        <c:axId val="191362560"/>
      </c:barChart>
      <c:catAx>
        <c:axId val="1913610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1362560"/>
        <c:crosses val="autoZero"/>
        <c:auto val="1"/>
        <c:lblAlgn val="ctr"/>
        <c:lblOffset val="100"/>
        <c:noMultiLvlLbl val="0"/>
      </c:catAx>
      <c:valAx>
        <c:axId val="191362560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1361024"/>
        <c:crosses val="autoZero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800" b="1" i="0" u="none" strike="noStrike" baseline="0"/>
              <a:t>陈二龙</a:t>
            </a:r>
            <a:r>
              <a:rPr lang="zh-CN" altLang="en-US"/>
              <a:t>公司人才潜力分析</a:t>
            </a:r>
          </a:p>
        </c:rich>
      </c:tx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雷达图!$A$3</c:f>
              <c:strCache>
                <c:ptCount val="1"/>
                <c:pt idx="0">
                  <c:v>华北</c:v>
                </c:pt>
              </c:strCache>
            </c:strRef>
          </c:tx>
          <c:cat>
            <c:strRef>
              <c:f>雷达图!$B$2:$F$2</c:f>
              <c:strCache>
                <c:ptCount val="5"/>
                <c:pt idx="0">
                  <c:v>激情</c:v>
                </c:pt>
                <c:pt idx="1">
                  <c:v>沟通</c:v>
                </c:pt>
                <c:pt idx="2">
                  <c:v>创新</c:v>
                </c:pt>
                <c:pt idx="3">
                  <c:v>投入</c:v>
                </c:pt>
                <c:pt idx="4">
                  <c:v>尽责</c:v>
                </c:pt>
              </c:strCache>
            </c:strRef>
          </c:cat>
          <c:val>
            <c:numRef>
              <c:f>雷达图!$B$3:$F$3</c:f>
              <c:numCache>
                <c:formatCode>General</c:formatCode>
                <c:ptCount val="5"/>
                <c:pt idx="0">
                  <c:v>1.5</c:v>
                </c:pt>
                <c:pt idx="1">
                  <c:v>5</c:v>
                </c:pt>
                <c:pt idx="2">
                  <c:v>1.5</c:v>
                </c:pt>
                <c:pt idx="3">
                  <c:v>2.5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E-4896-AA8A-83BFD26F181B}"/>
            </c:ext>
          </c:extLst>
        </c:ser>
        <c:ser>
          <c:idx val="1"/>
          <c:order val="1"/>
          <c:tx>
            <c:strRef>
              <c:f>雷达图!$A$4</c:f>
              <c:strCache>
                <c:ptCount val="1"/>
                <c:pt idx="0">
                  <c:v>华南</c:v>
                </c:pt>
              </c:strCache>
            </c:strRef>
          </c:tx>
          <c:cat>
            <c:strRef>
              <c:f>雷达图!$B$2:$F$2</c:f>
              <c:strCache>
                <c:ptCount val="5"/>
                <c:pt idx="0">
                  <c:v>激情</c:v>
                </c:pt>
                <c:pt idx="1">
                  <c:v>沟通</c:v>
                </c:pt>
                <c:pt idx="2">
                  <c:v>创新</c:v>
                </c:pt>
                <c:pt idx="3">
                  <c:v>投入</c:v>
                </c:pt>
                <c:pt idx="4">
                  <c:v>尽责</c:v>
                </c:pt>
              </c:strCache>
            </c:strRef>
          </c:cat>
          <c:val>
            <c:numRef>
              <c:f>雷达图!$B$4:$F$4</c:f>
              <c:numCache>
                <c:formatCode>General</c:formatCode>
                <c:ptCount val="5"/>
                <c:pt idx="0">
                  <c:v>5</c:v>
                </c:pt>
                <c:pt idx="1">
                  <c:v>4.5</c:v>
                </c:pt>
                <c:pt idx="2">
                  <c:v>4</c:v>
                </c:pt>
                <c:pt idx="3">
                  <c:v>5</c:v>
                </c:pt>
                <c:pt idx="4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AE-4896-AA8A-83BFD26F181B}"/>
            </c:ext>
          </c:extLst>
        </c:ser>
        <c:ser>
          <c:idx val="2"/>
          <c:order val="2"/>
          <c:tx>
            <c:strRef>
              <c:f>雷达图!$A$5</c:f>
              <c:strCache>
                <c:ptCount val="1"/>
                <c:pt idx="0">
                  <c:v>西北</c:v>
                </c:pt>
              </c:strCache>
            </c:strRef>
          </c:tx>
          <c:cat>
            <c:strRef>
              <c:f>雷达图!$B$2:$F$2</c:f>
              <c:strCache>
                <c:ptCount val="5"/>
                <c:pt idx="0">
                  <c:v>激情</c:v>
                </c:pt>
                <c:pt idx="1">
                  <c:v>沟通</c:v>
                </c:pt>
                <c:pt idx="2">
                  <c:v>创新</c:v>
                </c:pt>
                <c:pt idx="3">
                  <c:v>投入</c:v>
                </c:pt>
                <c:pt idx="4">
                  <c:v>尽责</c:v>
                </c:pt>
              </c:strCache>
            </c:strRef>
          </c:cat>
          <c:val>
            <c:numRef>
              <c:f>雷达图!$B$5:$F$5</c:f>
              <c:numCache>
                <c:formatCode>General</c:formatCode>
                <c:ptCount val="5"/>
                <c:pt idx="0">
                  <c:v>2.5</c:v>
                </c:pt>
                <c:pt idx="1">
                  <c:v>5</c:v>
                </c:pt>
                <c:pt idx="2">
                  <c:v>4.5</c:v>
                </c:pt>
                <c:pt idx="3">
                  <c:v>4.5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AE-4896-AA8A-83BFD26F181B}"/>
            </c:ext>
          </c:extLst>
        </c:ser>
        <c:ser>
          <c:idx val="3"/>
          <c:order val="3"/>
          <c:tx>
            <c:strRef>
              <c:f>雷达图!$A$6</c:f>
              <c:strCache>
                <c:ptCount val="1"/>
                <c:pt idx="0">
                  <c:v>西南</c:v>
                </c:pt>
              </c:strCache>
            </c:strRef>
          </c:tx>
          <c:cat>
            <c:strRef>
              <c:f>雷达图!$B$2:$F$2</c:f>
              <c:strCache>
                <c:ptCount val="5"/>
                <c:pt idx="0">
                  <c:v>激情</c:v>
                </c:pt>
                <c:pt idx="1">
                  <c:v>沟通</c:v>
                </c:pt>
                <c:pt idx="2">
                  <c:v>创新</c:v>
                </c:pt>
                <c:pt idx="3">
                  <c:v>投入</c:v>
                </c:pt>
                <c:pt idx="4">
                  <c:v>尽责</c:v>
                </c:pt>
              </c:strCache>
            </c:strRef>
          </c:cat>
          <c:val>
            <c:numRef>
              <c:f>雷达图!$B$6:$F$6</c:f>
              <c:numCache>
                <c:formatCode>General</c:formatCode>
                <c:ptCount val="5"/>
                <c:pt idx="0">
                  <c:v>4</c:v>
                </c:pt>
                <c:pt idx="1">
                  <c:v>3.5</c:v>
                </c:pt>
                <c:pt idx="2">
                  <c:v>4</c:v>
                </c:pt>
                <c:pt idx="3">
                  <c:v>3</c:v>
                </c:pt>
                <c:pt idx="4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AAE-4896-AA8A-83BFD26F181B}"/>
            </c:ext>
          </c:extLst>
        </c:ser>
        <c:ser>
          <c:idx val="4"/>
          <c:order val="4"/>
          <c:tx>
            <c:strRef>
              <c:f>雷达图!$A$7</c:f>
              <c:strCache>
                <c:ptCount val="1"/>
                <c:pt idx="0">
                  <c:v>东北</c:v>
                </c:pt>
              </c:strCache>
            </c:strRef>
          </c:tx>
          <c:cat>
            <c:strRef>
              <c:f>雷达图!$B$2:$F$2</c:f>
              <c:strCache>
                <c:ptCount val="5"/>
                <c:pt idx="0">
                  <c:v>激情</c:v>
                </c:pt>
                <c:pt idx="1">
                  <c:v>沟通</c:v>
                </c:pt>
                <c:pt idx="2">
                  <c:v>创新</c:v>
                </c:pt>
                <c:pt idx="3">
                  <c:v>投入</c:v>
                </c:pt>
                <c:pt idx="4">
                  <c:v>尽责</c:v>
                </c:pt>
              </c:strCache>
            </c:strRef>
          </c:cat>
          <c:val>
            <c:numRef>
              <c:f>雷达图!$B$7:$F$7</c:f>
              <c:numCache>
                <c:formatCode>General</c:formatCode>
                <c:ptCount val="5"/>
                <c:pt idx="0">
                  <c:v>3</c:v>
                </c:pt>
                <c:pt idx="1">
                  <c:v>3</c:v>
                </c:pt>
                <c:pt idx="2">
                  <c:v>5</c:v>
                </c:pt>
                <c:pt idx="3">
                  <c:v>3.5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AE-4896-AA8A-83BFD26F1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241600"/>
        <c:axId val="191308928"/>
      </c:radarChart>
      <c:catAx>
        <c:axId val="191241600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9525" cap="flat" cmpd="sng" algn="ctr">
            <a:noFill/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1308928"/>
        <c:crosses val="autoZero"/>
        <c:auto val="1"/>
        <c:lblAlgn val="ctr"/>
        <c:lblOffset val="100"/>
        <c:noMultiLvlLbl val="0"/>
      </c:catAx>
      <c:valAx>
        <c:axId val="191308928"/>
        <c:scaling>
          <c:orientation val="minMax"/>
          <c:min val="1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1241600"/>
        <c:crosses val="autoZero"/>
        <c:crossBetween val="between"/>
      </c:valAx>
    </c:plotArea>
    <c:legend>
      <c:legendPos val="r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>
                <a:latin typeface="微软雅黑"/>
                <a:ea typeface="微软雅黑"/>
                <a:cs typeface="微软雅黑"/>
              </a:defRPr>
            </a:pPr>
            <a:r>
              <a:rPr lang="zh-CN"/>
              <a:t>陈二龙公司人才矩阵</a:t>
            </a:r>
          </a:p>
        </c:rich>
      </c:tx>
      <c:overlay val="0"/>
    </c:title>
    <c:autoTitleDeleted val="0"/>
    <c:plotArea>
      <c:layout/>
      <c:bubbleChart>
        <c:varyColors val="0"/>
        <c:ser>
          <c:idx val="0"/>
          <c:order val="0"/>
          <c:tx>
            <c:strRef>
              <c:f>气泡图!$A$2</c:f>
              <c:strCache>
                <c:ptCount val="1"/>
                <c:pt idx="0">
                  <c:v>区域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气泡图!$B$2</c:f>
              <c:strCache>
                <c:ptCount val="1"/>
                <c:pt idx="0">
                  <c:v>业绩</c:v>
                </c:pt>
              </c:strCache>
            </c:strRef>
          </c:xVal>
          <c:yVal>
            <c:numRef>
              <c:f>气泡图!$C$2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bubbleSize>
            <c:numRef>
              <c:f>气泡图!$D$2</c:f>
              <c:numCache>
                <c:formatCode>General</c:formatCode>
                <c:ptCount val="1"/>
                <c:pt idx="0">
                  <c:v>0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0-317E-4098-A37C-D70DBC5F5B05}"/>
            </c:ext>
          </c:extLst>
        </c:ser>
        <c:ser>
          <c:idx val="1"/>
          <c:order val="1"/>
          <c:tx>
            <c:strRef>
              <c:f>气泡图!$A$3</c:f>
              <c:strCache>
                <c:ptCount val="1"/>
                <c:pt idx="0">
                  <c:v>华北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气泡图!$B$3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气泡图!$C$3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bubbleSize>
            <c:numRef>
              <c:f>气泡图!$D$3</c:f>
              <c:numCache>
                <c:formatCode>General</c:formatCode>
                <c:ptCount val="1"/>
                <c:pt idx="0">
                  <c:v>5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1-317E-4098-A37C-D70DBC5F5B05}"/>
            </c:ext>
          </c:extLst>
        </c:ser>
        <c:ser>
          <c:idx val="2"/>
          <c:order val="2"/>
          <c:tx>
            <c:strRef>
              <c:f>气泡图!$A$4</c:f>
              <c:strCache>
                <c:ptCount val="1"/>
                <c:pt idx="0">
                  <c:v>华南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气泡图!$B$4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气泡图!$C$4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bubbleSize>
            <c:numRef>
              <c:f>气泡图!$D$4</c:f>
              <c:numCache>
                <c:formatCode>General</c:formatCode>
                <c:ptCount val="1"/>
                <c:pt idx="0">
                  <c:v>4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2-317E-4098-A37C-D70DBC5F5B05}"/>
            </c:ext>
          </c:extLst>
        </c:ser>
        <c:ser>
          <c:idx val="3"/>
          <c:order val="3"/>
          <c:tx>
            <c:strRef>
              <c:f>气泡图!$A$5</c:f>
              <c:strCache>
                <c:ptCount val="1"/>
                <c:pt idx="0">
                  <c:v>西北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气泡图!$B$5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气泡图!$C$5</c:f>
              <c:numCache>
                <c:formatCode>General</c:formatCode>
                <c:ptCount val="1"/>
                <c:pt idx="0">
                  <c:v>5</c:v>
                </c:pt>
              </c:numCache>
            </c:numRef>
          </c:yVal>
          <c:bubbleSize>
            <c:numRef>
              <c:f>气泡图!$D$5</c:f>
              <c:numCache>
                <c:formatCode>General</c:formatCode>
                <c:ptCount val="1"/>
                <c:pt idx="0">
                  <c:v>4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3-317E-4098-A37C-D70DBC5F5B05}"/>
            </c:ext>
          </c:extLst>
        </c:ser>
        <c:ser>
          <c:idx val="4"/>
          <c:order val="4"/>
          <c:tx>
            <c:strRef>
              <c:f>气泡图!$A$6</c:f>
              <c:strCache>
                <c:ptCount val="1"/>
                <c:pt idx="0">
                  <c:v>西南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气泡图!$B$6</c:f>
              <c:numCache>
                <c:formatCode>General</c:formatCode>
                <c:ptCount val="1"/>
                <c:pt idx="0">
                  <c:v>2.5</c:v>
                </c:pt>
              </c:numCache>
            </c:numRef>
          </c:xVal>
          <c:yVal>
            <c:numRef>
              <c:f>气泡图!$C$6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bubbleSize>
            <c:numRef>
              <c:f>气泡图!$D$6</c:f>
              <c:numCache>
                <c:formatCode>General</c:formatCode>
                <c:ptCount val="1"/>
                <c:pt idx="0">
                  <c:v>1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4-317E-4098-A37C-D70DBC5F5B05}"/>
            </c:ext>
          </c:extLst>
        </c:ser>
        <c:ser>
          <c:idx val="5"/>
          <c:order val="5"/>
          <c:tx>
            <c:strRef>
              <c:f>气泡图!$A$7</c:f>
              <c:strCache>
                <c:ptCount val="1"/>
                <c:pt idx="0">
                  <c:v>东北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气泡图!$C$7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bubbleSize>
            <c:numRef>
              <c:f>气泡图!$D$7</c:f>
              <c:numCache>
                <c:formatCode>General</c:formatCode>
                <c:ptCount val="1"/>
                <c:pt idx="0">
                  <c:v>3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5-317E-4098-A37C-D70DBC5F5B05}"/>
            </c:ext>
          </c:extLst>
        </c:ser>
        <c:ser>
          <c:idx val="6"/>
          <c:order val="6"/>
          <c:tx>
            <c:strRef>
              <c:f>气泡图!$A$8</c:f>
              <c:strCache>
                <c:ptCount val="1"/>
                <c:pt idx="0">
                  <c:v>海南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气泡图!$B$8</c:f>
              <c:numCache>
                <c:formatCode>General</c:formatCode>
                <c:ptCount val="1"/>
                <c:pt idx="0">
                  <c:v>4.5</c:v>
                </c:pt>
              </c:numCache>
            </c:numRef>
          </c:xVal>
          <c:yVal>
            <c:numRef>
              <c:f>气泡图!$C$8</c:f>
              <c:numCache>
                <c:formatCode>General</c:formatCode>
                <c:ptCount val="1"/>
                <c:pt idx="0">
                  <c:v>3.5</c:v>
                </c:pt>
              </c:numCache>
            </c:numRef>
          </c:yVal>
          <c:bubbleSize>
            <c:numRef>
              <c:f>气泡图!$D$8</c:f>
              <c:numCache>
                <c:formatCode>General</c:formatCode>
                <c:ptCount val="1"/>
                <c:pt idx="0">
                  <c:v>1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6-317E-4098-A37C-D70DBC5F5B05}"/>
            </c:ext>
          </c:extLst>
        </c:ser>
        <c:ser>
          <c:idx val="7"/>
          <c:order val="7"/>
          <c:tx>
            <c:strRef>
              <c:f>气泡图!$A$9</c:f>
              <c:strCache>
                <c:ptCount val="1"/>
                <c:pt idx="0">
                  <c:v>台湾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气泡图!$B$9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气泡图!$C$9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bubbleSize>
            <c:numRef>
              <c:f>气泡图!$D$9</c:f>
              <c:numCache>
                <c:formatCode>General</c:formatCode>
                <c:ptCount val="1"/>
                <c:pt idx="0">
                  <c:v>1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7-317E-4098-A37C-D70DBC5F5B05}"/>
            </c:ext>
          </c:extLst>
        </c:ser>
        <c:ser>
          <c:idx val="8"/>
          <c:order val="8"/>
          <c:tx>
            <c:strRef>
              <c:f>气泡图!$A$10</c:f>
              <c:strCache>
                <c:ptCount val="1"/>
                <c:pt idx="0">
                  <c:v>香港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气泡图!$B$10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气泡图!$C$10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bubbleSize>
            <c:numRef>
              <c:f>气泡图!$D$10</c:f>
              <c:numCache>
                <c:formatCode>General</c:formatCode>
                <c:ptCount val="1"/>
                <c:pt idx="0">
                  <c:v>2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8-317E-4098-A37C-D70DBC5F5B05}"/>
            </c:ext>
          </c:extLst>
        </c:ser>
        <c:ser>
          <c:idx val="9"/>
          <c:order val="9"/>
          <c:tx>
            <c:strRef>
              <c:f>气泡图!$A$11</c:f>
              <c:strCache>
                <c:ptCount val="1"/>
                <c:pt idx="0">
                  <c:v>地区1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气泡图!$B$11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气泡图!$C$11</c:f>
              <c:numCache>
                <c:formatCode>General</c:formatCode>
                <c:ptCount val="1"/>
                <c:pt idx="0">
                  <c:v>3</c:v>
                </c:pt>
              </c:numCache>
            </c:numRef>
          </c:yVal>
          <c:bubbleSize>
            <c:numRef>
              <c:f>气泡图!$D$11</c:f>
              <c:numCache>
                <c:formatCode>General</c:formatCode>
                <c:ptCount val="1"/>
                <c:pt idx="0">
                  <c:v>3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9-317E-4098-A37C-D70DBC5F5B05}"/>
            </c:ext>
          </c:extLst>
        </c:ser>
        <c:ser>
          <c:idx val="10"/>
          <c:order val="10"/>
          <c:tx>
            <c:strRef>
              <c:f>气泡图!$A$12</c:f>
              <c:strCache>
                <c:ptCount val="1"/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气泡图!$B$12</c:f>
              <c:numCache>
                <c:formatCode>General</c:formatCode>
                <c:ptCount val="1"/>
              </c:numCache>
            </c:numRef>
          </c:xVal>
          <c:yVal>
            <c:numRef>
              <c:f>气泡图!$C$12</c:f>
              <c:numCache>
                <c:formatCode>General</c:formatCode>
                <c:ptCount val="1"/>
              </c:numCache>
            </c:numRef>
          </c:yVal>
          <c:bubbleSize>
            <c:numRef>
              <c:f>气泡图!$D$12</c:f>
              <c:numCache>
                <c:formatCode>General</c:formatCode>
                <c:ptCount val="1"/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A-317E-4098-A37C-D70DBC5F5B05}"/>
            </c:ext>
          </c:extLst>
        </c:ser>
        <c:ser>
          <c:idx val="11"/>
          <c:order val="11"/>
          <c:tx>
            <c:strRef>
              <c:f>气泡图!$A$13</c:f>
              <c:strCache>
                <c:ptCount val="1"/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气泡图!$B$13</c:f>
              <c:numCache>
                <c:formatCode>General</c:formatCode>
                <c:ptCount val="1"/>
              </c:numCache>
            </c:numRef>
          </c:xVal>
          <c:yVal>
            <c:numRef>
              <c:f>气泡图!$C$13</c:f>
              <c:numCache>
                <c:formatCode>General</c:formatCode>
                <c:ptCount val="1"/>
              </c:numCache>
            </c:numRef>
          </c:yVal>
          <c:bubbleSize>
            <c:numRef>
              <c:f>气泡图!$D$13</c:f>
              <c:numCache>
                <c:formatCode>General</c:formatCode>
                <c:ptCount val="1"/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B-317E-4098-A37C-D70DBC5F5B05}"/>
            </c:ext>
          </c:extLst>
        </c:ser>
        <c:ser>
          <c:idx val="12"/>
          <c:order val="12"/>
          <c:tx>
            <c:strRef>
              <c:f>气泡图!$A$14</c:f>
              <c:strCache>
                <c:ptCount val="1"/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气泡图!$B$14</c:f>
              <c:numCache>
                <c:formatCode>General</c:formatCode>
                <c:ptCount val="1"/>
              </c:numCache>
            </c:numRef>
          </c:xVal>
          <c:yVal>
            <c:numRef>
              <c:f>气泡图!$C$14</c:f>
              <c:numCache>
                <c:formatCode>General</c:formatCode>
                <c:ptCount val="1"/>
              </c:numCache>
            </c:numRef>
          </c:yVal>
          <c:bubbleSize>
            <c:numRef>
              <c:f>气泡图!$D$14</c:f>
              <c:numCache>
                <c:formatCode>General</c:formatCode>
                <c:ptCount val="1"/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C-317E-4098-A37C-D70DBC5F5B05}"/>
            </c:ext>
          </c:extLst>
        </c:ser>
        <c:ser>
          <c:idx val="13"/>
          <c:order val="13"/>
          <c:tx>
            <c:strRef>
              <c:f>气泡图!$A$15</c:f>
              <c:strCache>
                <c:ptCount val="1"/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气泡图!$B$15</c:f>
              <c:numCache>
                <c:formatCode>General</c:formatCode>
                <c:ptCount val="1"/>
              </c:numCache>
            </c:numRef>
          </c:xVal>
          <c:yVal>
            <c:numRef>
              <c:f>气泡图!$C$15</c:f>
              <c:numCache>
                <c:formatCode>General</c:formatCode>
                <c:ptCount val="1"/>
              </c:numCache>
            </c:numRef>
          </c:yVal>
          <c:bubbleSize>
            <c:numRef>
              <c:f>气泡图!$D$15</c:f>
              <c:numCache>
                <c:formatCode>General</c:formatCode>
                <c:ptCount val="1"/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D-317E-4098-A37C-D70DBC5F5B05}"/>
            </c:ext>
          </c:extLst>
        </c:ser>
        <c:ser>
          <c:idx val="14"/>
          <c:order val="14"/>
          <c:tx>
            <c:strRef>
              <c:f>气泡图!$A$16</c:f>
              <c:strCache>
                <c:ptCount val="1"/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气泡图!$B$16</c:f>
              <c:numCache>
                <c:formatCode>General</c:formatCode>
                <c:ptCount val="1"/>
              </c:numCache>
            </c:numRef>
          </c:xVal>
          <c:yVal>
            <c:numRef>
              <c:f>气泡图!$C$16</c:f>
              <c:numCache>
                <c:formatCode>General</c:formatCode>
                <c:ptCount val="1"/>
              </c:numCache>
            </c:numRef>
          </c:yVal>
          <c:bubbleSize>
            <c:numRef>
              <c:f>气泡图!$D$16</c:f>
              <c:numCache>
                <c:formatCode>General</c:formatCode>
                <c:ptCount val="1"/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E-317E-4098-A37C-D70DBC5F5B05}"/>
            </c:ext>
          </c:extLst>
        </c:ser>
        <c:ser>
          <c:idx val="15"/>
          <c:order val="15"/>
          <c:tx>
            <c:strRef>
              <c:f>气泡图!$A$17</c:f>
              <c:strCache>
                <c:ptCount val="1"/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气泡图!$B$17</c:f>
              <c:numCache>
                <c:formatCode>General</c:formatCode>
                <c:ptCount val="1"/>
              </c:numCache>
            </c:numRef>
          </c:xVal>
          <c:yVal>
            <c:numRef>
              <c:f>气泡图!$C$17</c:f>
              <c:numCache>
                <c:formatCode>General</c:formatCode>
                <c:ptCount val="1"/>
              </c:numCache>
            </c:numRef>
          </c:yVal>
          <c:bubbleSize>
            <c:numRef>
              <c:f>气泡图!$D$17</c:f>
              <c:numCache>
                <c:formatCode>General</c:formatCode>
                <c:ptCount val="1"/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F-317E-4098-A37C-D70DBC5F5B05}"/>
            </c:ext>
          </c:extLst>
        </c:ser>
        <c:ser>
          <c:idx val="16"/>
          <c:order val="16"/>
          <c:tx>
            <c:strRef>
              <c:f>气泡图!$A$18</c:f>
              <c:strCache>
                <c:ptCount val="1"/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气泡图!$B$18</c:f>
              <c:numCache>
                <c:formatCode>General</c:formatCode>
                <c:ptCount val="1"/>
              </c:numCache>
            </c:numRef>
          </c:xVal>
          <c:yVal>
            <c:numRef>
              <c:f>气泡图!$C$18</c:f>
              <c:numCache>
                <c:formatCode>General</c:formatCode>
                <c:ptCount val="1"/>
              </c:numCache>
            </c:numRef>
          </c:yVal>
          <c:bubbleSize>
            <c:numRef>
              <c:f>气泡图!$D$18</c:f>
              <c:numCache>
                <c:formatCode>General</c:formatCode>
                <c:ptCount val="1"/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10-317E-4098-A37C-D70DBC5F5B05}"/>
            </c:ext>
          </c:extLst>
        </c:ser>
        <c:ser>
          <c:idx val="17"/>
          <c:order val="17"/>
          <c:tx>
            <c:strRef>
              <c:f>气泡图!$A$19</c:f>
              <c:strCache>
                <c:ptCount val="1"/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气泡图!$B$19</c:f>
              <c:numCache>
                <c:formatCode>General</c:formatCode>
                <c:ptCount val="1"/>
              </c:numCache>
            </c:numRef>
          </c:xVal>
          <c:yVal>
            <c:numRef>
              <c:f>气泡图!$C$19</c:f>
              <c:numCache>
                <c:formatCode>General</c:formatCode>
                <c:ptCount val="1"/>
              </c:numCache>
            </c:numRef>
          </c:yVal>
          <c:bubbleSize>
            <c:numRef>
              <c:f>气泡图!$D$19</c:f>
              <c:numCache>
                <c:formatCode>General</c:formatCode>
                <c:ptCount val="1"/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11-317E-4098-A37C-D70DBC5F5B05}"/>
            </c:ext>
          </c:extLst>
        </c:ser>
        <c:ser>
          <c:idx val="18"/>
          <c:order val="18"/>
          <c:tx>
            <c:strRef>
              <c:f>气泡图!$A$20</c:f>
              <c:strCache>
                <c:ptCount val="1"/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FFFF"/>
                    </a:solidFill>
                    <a:latin typeface="微软雅黑"/>
                    <a:ea typeface="微软雅黑"/>
                    <a:cs typeface="微软雅黑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气泡图!$B$20</c:f>
              <c:numCache>
                <c:formatCode>General</c:formatCode>
                <c:ptCount val="1"/>
              </c:numCache>
            </c:numRef>
          </c:xVal>
          <c:yVal>
            <c:numRef>
              <c:f>气泡图!$C$20</c:f>
              <c:numCache>
                <c:formatCode>General</c:formatCode>
                <c:ptCount val="1"/>
              </c:numCache>
            </c:numRef>
          </c:yVal>
          <c:bubbleSize>
            <c:numRef>
              <c:f>气泡图!$D$20</c:f>
              <c:numCache>
                <c:formatCode>General</c:formatCode>
                <c:ptCount val="1"/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12-317E-4098-A37C-D70DBC5F5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618613952"/>
        <c:axId val="618607712"/>
      </c:bubbleChart>
      <c:valAx>
        <c:axId val="618613952"/>
        <c:scaling>
          <c:orientation val="minMax"/>
          <c:max val="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altLang="en-US">
                    <a:latin typeface="微软雅黑"/>
                    <a:ea typeface="微软雅黑"/>
                    <a:cs typeface="微软雅黑"/>
                  </a:defRPr>
                </a:pPr>
                <a:r>
                  <a:rPr lang="zh-CN"/>
                  <a:t>低  ←     业绩     →  高</a:t>
                </a:r>
              </a:p>
            </c:rich>
          </c:tx>
          <c:overlay val="0"/>
        </c:title>
        <c:majorTickMark val="out"/>
        <c:minorTickMark val="none"/>
        <c:tickLblPos val="none"/>
        <c:crossAx val="618607712"/>
        <c:crossesAt val="3"/>
        <c:crossBetween val="midCat"/>
        <c:majorUnit val="1"/>
      </c:valAx>
      <c:valAx>
        <c:axId val="618607712"/>
        <c:scaling>
          <c:orientation val="minMax"/>
          <c:max val="6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altLang="en-US">
                    <a:latin typeface="微软雅黑"/>
                    <a:ea typeface="微软雅黑"/>
                    <a:cs typeface="微软雅黑"/>
                  </a:defRPr>
                </a:pPr>
                <a:r>
                  <a:rPr lang="zh-CN"/>
                  <a:t>低  ←     潜力     →  高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one"/>
        <c:crossAx val="618613952"/>
        <c:crossesAt val="3"/>
        <c:crossBetween val="midCat"/>
        <c:majorUnit val="1"/>
      </c:valAx>
      <c:spPr>
        <a:ln>
          <a:solidFill>
            <a:srgbClr val="4F81BD">
              <a:lumMod val="100000"/>
            </a:srgbClr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303530</xdr:colOff>
      <xdr:row>2</xdr:row>
      <xdr:rowOff>119380</xdr:rowOff>
    </xdr:from>
    <xdr:to>
      <xdr:col>16</xdr:col>
      <xdr:colOff>608330</xdr:colOff>
      <xdr:row>18</xdr:row>
      <xdr:rowOff>12700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2</xdr:row>
      <xdr:rowOff>25400</xdr:rowOff>
    </xdr:from>
    <xdr:to>
      <xdr:col>10</xdr:col>
      <xdr:colOff>213360</xdr:colOff>
      <xdr:row>19</xdr:row>
      <xdr:rowOff>162560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236220</xdr:colOff>
      <xdr:row>2</xdr:row>
      <xdr:rowOff>25400</xdr:rowOff>
    </xdr:from>
    <xdr:to>
      <xdr:col>17</xdr:col>
      <xdr:colOff>114300</xdr:colOff>
      <xdr:row>19</xdr:row>
      <xdr:rowOff>170180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6350</xdr:colOff>
      <xdr:row>0</xdr:row>
      <xdr:rowOff>44450</xdr:rowOff>
    </xdr:from>
    <xdr:to>
      <xdr:col>13</xdr:col>
      <xdr:colOff>311150</xdr:colOff>
      <xdr:row>15</xdr:row>
      <xdr:rowOff>120650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184150</xdr:colOff>
      <xdr:row>0</xdr:row>
      <xdr:rowOff>76200</xdr:rowOff>
    </xdr:from>
    <xdr:to>
      <xdr:col>13</xdr:col>
      <xdr:colOff>368300</xdr:colOff>
      <xdr:row>18</xdr:row>
      <xdr:rowOff>38100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4</xdr:row>
          <xdr:rowOff>28575</xdr:rowOff>
        </xdr:from>
        <xdr:to>
          <xdr:col>10</xdr:col>
          <xdr:colOff>619125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插入气泡图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7</xdr:row>
      <xdr:rowOff>69850</xdr:rowOff>
    </xdr:from>
    <xdr:to>
      <xdr:col>12</xdr:col>
      <xdr:colOff>463550</xdr:colOff>
      <xdr:row>25</xdr:row>
      <xdr:rowOff>158750</xdr:rowOff>
    </xdr:to>
    <xdr:graphicFrame macro="">
      <xdr:nvGraphicFramePr>
        <xdr:cNvPr id="4" name="陈二龙公司人才矩阵">
          <a:extLst>
            <a:ext uri="{FF2B5EF4-FFF2-40B4-BE49-F238E27FC236}">
              <a16:creationId xmlns:a16="http://schemas.microsoft.com/office/drawing/2014/main" id="{3111AC80-254A-20C5-6058-051837D8AE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饼图2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32"/>
  <sheetViews>
    <sheetView workbookViewId="0">
      <selection activeCell="E30" sqref="E30"/>
    </sheetView>
  </sheetViews>
  <sheetFormatPr defaultColWidth="9" defaultRowHeight="13.5" x14ac:dyDescent="0.15"/>
  <sheetData>
    <row r="1" spans="1:12" x14ac:dyDescent="0.15">
      <c r="A1" s="10" t="s">
        <v>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</row>
    <row r="2" spans="1:12" x14ac:dyDescent="0.15">
      <c r="A2" s="2">
        <v>292</v>
      </c>
      <c r="B2" s="2">
        <v>294</v>
      </c>
      <c r="C2" s="2">
        <v>155</v>
      </c>
      <c r="D2" s="2">
        <v>263</v>
      </c>
      <c r="E2" s="2">
        <v>234</v>
      </c>
      <c r="F2" s="2">
        <v>206</v>
      </c>
      <c r="G2" s="2">
        <v>192</v>
      </c>
      <c r="H2" s="2">
        <v>312</v>
      </c>
      <c r="I2" s="2">
        <v>278</v>
      </c>
      <c r="J2" s="2">
        <v>220</v>
      </c>
      <c r="K2" s="2">
        <v>253</v>
      </c>
      <c r="L2" s="2">
        <v>177</v>
      </c>
    </row>
    <row r="3" spans="1:12" x14ac:dyDescent="0.15">
      <c r="A3" s="3">
        <v>209</v>
      </c>
      <c r="B3" s="3">
        <v>244</v>
      </c>
      <c r="C3" s="3">
        <v>186</v>
      </c>
      <c r="D3" s="3">
        <v>182</v>
      </c>
      <c r="E3" s="3">
        <v>207</v>
      </c>
      <c r="F3" s="3">
        <v>232</v>
      </c>
      <c r="G3" s="3">
        <v>236</v>
      </c>
      <c r="H3" s="3">
        <v>289</v>
      </c>
      <c r="I3" s="3">
        <v>176</v>
      </c>
      <c r="J3" s="3">
        <v>294</v>
      </c>
      <c r="K3" s="3">
        <v>155</v>
      </c>
      <c r="L3" s="3">
        <v>182</v>
      </c>
    </row>
    <row r="4" spans="1:12" x14ac:dyDescent="0.15">
      <c r="A4" s="3">
        <v>270</v>
      </c>
      <c r="B4" s="3">
        <v>199</v>
      </c>
      <c r="C4" s="3">
        <v>179</v>
      </c>
      <c r="D4" s="3">
        <v>242</v>
      </c>
      <c r="E4" s="3">
        <v>247</v>
      </c>
      <c r="F4" s="3">
        <v>198</v>
      </c>
      <c r="G4" s="3">
        <v>172</v>
      </c>
      <c r="H4" s="3">
        <v>269</v>
      </c>
      <c r="I4" s="3">
        <v>294</v>
      </c>
      <c r="J4" s="3">
        <v>244</v>
      </c>
      <c r="K4" s="3">
        <v>186</v>
      </c>
      <c r="L4" s="3">
        <v>216</v>
      </c>
    </row>
    <row r="5" spans="1:12" x14ac:dyDescent="0.15">
      <c r="A5" s="3">
        <v>246</v>
      </c>
      <c r="B5" s="3">
        <v>240</v>
      </c>
      <c r="C5" s="3">
        <v>188</v>
      </c>
      <c r="D5" s="3">
        <v>213</v>
      </c>
      <c r="E5" s="3">
        <v>166</v>
      </c>
      <c r="F5" s="3">
        <v>205</v>
      </c>
      <c r="G5" s="3">
        <v>251</v>
      </c>
      <c r="H5" s="3">
        <v>154</v>
      </c>
      <c r="I5" s="3">
        <v>224</v>
      </c>
      <c r="J5" s="3">
        <v>199</v>
      </c>
      <c r="K5" s="3">
        <v>179</v>
      </c>
      <c r="L5" s="3">
        <v>312</v>
      </c>
    </row>
    <row r="6" spans="1:12" x14ac:dyDescent="0.15">
      <c r="A6" s="3">
        <v>194</v>
      </c>
      <c r="B6" s="3">
        <v>263</v>
      </c>
      <c r="C6" s="3">
        <v>227</v>
      </c>
      <c r="D6" s="3">
        <v>139</v>
      </c>
      <c r="E6" s="3">
        <v>177</v>
      </c>
      <c r="F6" s="3">
        <v>175</v>
      </c>
      <c r="G6" s="3">
        <v>246</v>
      </c>
      <c r="H6" s="3">
        <v>222</v>
      </c>
      <c r="I6" s="3">
        <v>125</v>
      </c>
      <c r="J6" s="3">
        <v>240</v>
      </c>
      <c r="K6" s="3">
        <v>188</v>
      </c>
      <c r="L6" s="3">
        <v>199</v>
      </c>
    </row>
    <row r="7" spans="1:12" x14ac:dyDescent="0.15">
      <c r="A7" s="3">
        <v>281</v>
      </c>
      <c r="B7" s="3">
        <v>188</v>
      </c>
      <c r="C7" s="3">
        <v>173</v>
      </c>
      <c r="D7" s="3">
        <v>245</v>
      </c>
      <c r="E7" s="3">
        <v>182</v>
      </c>
      <c r="F7" s="3">
        <v>307</v>
      </c>
      <c r="G7" s="3">
        <v>147</v>
      </c>
      <c r="H7" s="3">
        <v>209</v>
      </c>
      <c r="I7" s="3">
        <v>236</v>
      </c>
      <c r="J7" s="3">
        <v>263</v>
      </c>
      <c r="K7" s="3">
        <v>227</v>
      </c>
      <c r="L7" s="3">
        <v>273</v>
      </c>
    </row>
    <row r="8" spans="1:12" x14ac:dyDescent="0.15">
      <c r="A8" s="3">
        <v>172</v>
      </c>
      <c r="B8" s="3">
        <v>243</v>
      </c>
      <c r="C8" s="3">
        <v>188</v>
      </c>
      <c r="D8" s="3">
        <v>327</v>
      </c>
      <c r="E8" s="3">
        <v>216</v>
      </c>
      <c r="F8" s="3">
        <v>269</v>
      </c>
      <c r="G8" s="3">
        <v>176</v>
      </c>
      <c r="H8" s="3">
        <v>190</v>
      </c>
      <c r="I8" s="3">
        <v>164</v>
      </c>
      <c r="J8" s="3">
        <v>188</v>
      </c>
      <c r="K8" s="3">
        <v>173</v>
      </c>
      <c r="L8" s="3">
        <v>206</v>
      </c>
    </row>
    <row r="9" spans="1:12" x14ac:dyDescent="0.15">
      <c r="A9" s="3">
        <v>207</v>
      </c>
      <c r="B9" s="3">
        <v>221</v>
      </c>
      <c r="C9" s="3">
        <v>310</v>
      </c>
      <c r="D9" s="3">
        <v>271</v>
      </c>
      <c r="E9" s="3">
        <v>312</v>
      </c>
      <c r="F9" s="3">
        <v>224</v>
      </c>
      <c r="G9" s="3">
        <v>228</v>
      </c>
      <c r="H9" s="3">
        <v>254</v>
      </c>
      <c r="I9" s="3">
        <v>217</v>
      </c>
      <c r="J9" s="3">
        <v>243</v>
      </c>
      <c r="K9" s="3">
        <v>188</v>
      </c>
      <c r="L9" s="3">
        <v>232</v>
      </c>
    </row>
    <row r="10" spans="1:12" x14ac:dyDescent="0.15">
      <c r="A10" s="3">
        <v>198</v>
      </c>
      <c r="B10" s="3">
        <v>175</v>
      </c>
      <c r="C10" s="3">
        <v>293</v>
      </c>
      <c r="D10" s="3">
        <v>221</v>
      </c>
      <c r="E10" s="3">
        <v>199</v>
      </c>
      <c r="F10" s="3">
        <v>171</v>
      </c>
      <c r="G10" s="3">
        <v>166</v>
      </c>
      <c r="H10" s="3">
        <v>207</v>
      </c>
      <c r="I10" s="3">
        <v>192</v>
      </c>
      <c r="J10" s="3">
        <v>221</v>
      </c>
      <c r="K10" s="3">
        <v>310</v>
      </c>
      <c r="L10" s="3">
        <v>198</v>
      </c>
    </row>
    <row r="11" spans="1:12" x14ac:dyDescent="0.15">
      <c r="A11" s="3">
        <v>209</v>
      </c>
      <c r="B11" s="3">
        <v>253</v>
      </c>
      <c r="C11" s="3">
        <v>179</v>
      </c>
      <c r="D11" s="3">
        <v>266</v>
      </c>
      <c r="E11" s="3">
        <v>273</v>
      </c>
      <c r="F11" s="3">
        <v>216</v>
      </c>
      <c r="G11" s="3">
        <v>189</v>
      </c>
      <c r="H11" s="3">
        <v>209</v>
      </c>
      <c r="I11" s="3">
        <v>125</v>
      </c>
      <c r="J11" s="3">
        <v>175</v>
      </c>
      <c r="K11" s="3">
        <v>293</v>
      </c>
      <c r="L11" s="3">
        <v>205</v>
      </c>
    </row>
    <row r="12" spans="1:12" x14ac:dyDescent="0.1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</row>
    <row r="13" spans="1:12" x14ac:dyDescent="0.15">
      <c r="A13" t="s">
        <v>1</v>
      </c>
      <c r="B13" t="s">
        <v>2</v>
      </c>
      <c r="C13" t="s">
        <v>3</v>
      </c>
      <c r="D13" t="s">
        <v>4</v>
      </c>
      <c r="E13" t="s">
        <v>5</v>
      </c>
      <c r="F13" t="s">
        <v>6</v>
      </c>
      <c r="G13" t="s">
        <v>7</v>
      </c>
    </row>
    <row r="14" spans="1:12" x14ac:dyDescent="0.15">
      <c r="A14" s="3" t="s">
        <v>8</v>
      </c>
      <c r="B14" s="3">
        <f>105</f>
        <v>105</v>
      </c>
      <c r="C14" s="3">
        <v>30</v>
      </c>
      <c r="D14" s="3">
        <f>F14</f>
        <v>0</v>
      </c>
      <c r="E14" s="4">
        <f>G14</f>
        <v>0</v>
      </c>
      <c r="F14" s="3">
        <f>COUNTIF(A2:L11,"&lt;120")</f>
        <v>0</v>
      </c>
      <c r="G14" s="4">
        <f>F14/120</f>
        <v>0</v>
      </c>
    </row>
    <row r="15" spans="1:12" x14ac:dyDescent="0.15">
      <c r="A15" s="3" t="s">
        <v>9</v>
      </c>
      <c r="B15" s="3">
        <v>135</v>
      </c>
      <c r="C15" s="3">
        <v>30</v>
      </c>
      <c r="D15" s="3">
        <f>F15-F14</f>
        <v>4</v>
      </c>
      <c r="E15" s="4">
        <f>G15-G14</f>
        <v>3.3333333333333298E-2</v>
      </c>
      <c r="F15" s="3">
        <f>COUNTIF(A2:L11,"&lt;=150")</f>
        <v>4</v>
      </c>
      <c r="G15" s="4">
        <f t="shared" ref="G15:G21" si="0">F15/120</f>
        <v>3.3333333333333298E-2</v>
      </c>
      <c r="H15">
        <v>120</v>
      </c>
      <c r="I15">
        <v>150</v>
      </c>
    </row>
    <row r="16" spans="1:12" x14ac:dyDescent="0.15">
      <c r="A16" s="3" t="s">
        <v>10</v>
      </c>
      <c r="B16" s="3">
        <v>165</v>
      </c>
      <c r="C16" s="3">
        <v>30</v>
      </c>
      <c r="D16" s="3">
        <f t="shared" ref="D16:D21" si="1">F16-F15</f>
        <v>21</v>
      </c>
      <c r="E16" s="4">
        <f t="shared" ref="E16:E21" si="2">G16-G15</f>
        <v>0.17499999999999999</v>
      </c>
      <c r="F16" s="3">
        <f>COUNTIF(A2:L11,"&lt;=180")</f>
        <v>25</v>
      </c>
      <c r="G16" s="4">
        <f t="shared" si="0"/>
        <v>0.20833333333333301</v>
      </c>
    </row>
    <row r="17" spans="1:7" x14ac:dyDescent="0.15">
      <c r="A17" s="3" t="s">
        <v>11</v>
      </c>
      <c r="B17" s="3">
        <v>195</v>
      </c>
      <c r="C17" s="3">
        <v>30</v>
      </c>
      <c r="D17" s="3">
        <f t="shared" si="1"/>
        <v>34</v>
      </c>
      <c r="E17" s="4">
        <f t="shared" si="2"/>
        <v>0.28333333333333299</v>
      </c>
      <c r="F17" s="3">
        <f>COUNTIF(A2:L11,"&lt;=210")</f>
        <v>59</v>
      </c>
      <c r="G17" s="4">
        <f t="shared" si="0"/>
        <v>0.49166666666666697</v>
      </c>
    </row>
    <row r="18" spans="1:7" x14ac:dyDescent="0.15">
      <c r="A18" s="3" t="s">
        <v>12</v>
      </c>
      <c r="B18" s="3">
        <v>225</v>
      </c>
      <c r="C18" s="3">
        <v>30</v>
      </c>
      <c r="D18" s="3">
        <f t="shared" si="1"/>
        <v>22</v>
      </c>
      <c r="E18" s="4">
        <f t="shared" si="2"/>
        <v>0.18333333333333299</v>
      </c>
      <c r="F18" s="3">
        <f>COUNTIF(A2:L11,"&lt;=240")</f>
        <v>81</v>
      </c>
      <c r="G18" s="4">
        <f t="shared" si="0"/>
        <v>0.67500000000000004</v>
      </c>
    </row>
    <row r="19" spans="1:7" x14ac:dyDescent="0.15">
      <c r="A19" s="3" t="s">
        <v>13</v>
      </c>
      <c r="B19" s="3">
        <v>255</v>
      </c>
      <c r="C19" s="3">
        <v>30</v>
      </c>
      <c r="D19" s="3">
        <f t="shared" si="1"/>
        <v>20</v>
      </c>
      <c r="E19" s="4">
        <f t="shared" si="2"/>
        <v>0.16666666666666699</v>
      </c>
      <c r="F19" s="3">
        <f>COUNTIF(A2:L11,"&lt;=270")</f>
        <v>101</v>
      </c>
      <c r="G19" s="4">
        <f t="shared" si="0"/>
        <v>0.84166666666666701</v>
      </c>
    </row>
    <row r="20" spans="1:7" x14ac:dyDescent="0.15">
      <c r="A20" s="3" t="s">
        <v>14</v>
      </c>
      <c r="B20" s="3">
        <v>285</v>
      </c>
      <c r="C20" s="3">
        <v>30</v>
      </c>
      <c r="D20" s="3">
        <f t="shared" si="1"/>
        <v>12</v>
      </c>
      <c r="E20" s="4">
        <f t="shared" si="2"/>
        <v>0.1</v>
      </c>
      <c r="F20" s="3">
        <f>COUNTIF(A2:L11,"&lt;=300")</f>
        <v>113</v>
      </c>
      <c r="G20" s="4">
        <f t="shared" si="0"/>
        <v>0.94166666666666698</v>
      </c>
    </row>
    <row r="21" spans="1:7" x14ac:dyDescent="0.15">
      <c r="A21" s="3" t="s">
        <v>15</v>
      </c>
      <c r="B21" s="3">
        <v>315</v>
      </c>
      <c r="C21" s="3">
        <v>30</v>
      </c>
      <c r="D21" s="3">
        <f t="shared" si="1"/>
        <v>7</v>
      </c>
      <c r="E21" s="4">
        <f t="shared" si="2"/>
        <v>5.83333333333333E-2</v>
      </c>
      <c r="F21" s="3">
        <f>COUNTIF(A2:L11,"&lt;=330")</f>
        <v>120</v>
      </c>
      <c r="G21" s="4">
        <f t="shared" si="0"/>
        <v>1</v>
      </c>
    </row>
    <row r="25" spans="1:7" x14ac:dyDescent="0.15">
      <c r="C25" s="3"/>
      <c r="D25">
        <f>COUNTIFS($A$2:$L$11,"&lt;="&amp;I15,$A$2:$L$11,"&gt;"&amp;H15)</f>
        <v>4</v>
      </c>
    </row>
    <row r="26" spans="1:7" x14ac:dyDescent="0.15">
      <c r="C26" s="3"/>
      <c r="D26" s="3"/>
    </row>
    <row r="27" spans="1:7" x14ac:dyDescent="0.15">
      <c r="C27" s="3"/>
      <c r="D27" s="3"/>
    </row>
    <row r="28" spans="1:7" x14ac:dyDescent="0.15">
      <c r="C28" s="3"/>
      <c r="D28" s="3"/>
    </row>
    <row r="29" spans="1:7" x14ac:dyDescent="0.15">
      <c r="C29" s="3"/>
      <c r="D29" s="3"/>
    </row>
    <row r="30" spans="1:7" x14ac:dyDescent="0.15">
      <c r="C30" s="3"/>
      <c r="D30" s="3"/>
    </row>
    <row r="31" spans="1:7" x14ac:dyDescent="0.15">
      <c r="C31" s="3"/>
      <c r="D31" s="3"/>
    </row>
    <row r="32" spans="1:7" x14ac:dyDescent="0.15">
      <c r="C32" s="3"/>
      <c r="D32" s="3"/>
    </row>
  </sheetData>
  <mergeCells count="1">
    <mergeCell ref="A1:L1"/>
  </mergeCells>
  <phoneticPr fontId="4" type="noConversion"/>
  <pageMargins left="0.7" right="0.7" top="0.75" bottom="0.75" header="0.3" footer="0.3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4"/>
  <sheetViews>
    <sheetView workbookViewId="0"/>
  </sheetViews>
  <sheetFormatPr defaultColWidth="9" defaultRowHeight="13.5" x14ac:dyDescent="0.15"/>
  <sheetData>
    <row r="1" spans="1:2" x14ac:dyDescent="0.15">
      <c r="A1" t="s">
        <v>16</v>
      </c>
    </row>
    <row r="2" spans="1:2" x14ac:dyDescent="0.15">
      <c r="A2" t="s">
        <v>17</v>
      </c>
      <c r="B2">
        <v>13162.5</v>
      </c>
    </row>
    <row r="3" spans="1:2" x14ac:dyDescent="0.15">
      <c r="A3" t="s">
        <v>18</v>
      </c>
      <c r="B3">
        <v>3255</v>
      </c>
    </row>
    <row r="4" spans="1:2" x14ac:dyDescent="0.15">
      <c r="A4" t="s">
        <v>19</v>
      </c>
      <c r="B4">
        <v>7198.5</v>
      </c>
    </row>
  </sheetData>
  <phoneticPr fontId="4" type="noConversion"/>
  <pageMargins left="0.7" right="0.7" top="0.75" bottom="0.75" header="0.3" footer="0.3"/>
  <pageSetup paperSize="9" orientation="portrait" horizontalDpi="2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4"/>
  <sheetViews>
    <sheetView workbookViewId="0">
      <selection activeCell="D18" sqref="D18"/>
    </sheetView>
  </sheetViews>
  <sheetFormatPr defaultColWidth="9" defaultRowHeight="13.5" x14ac:dyDescent="0.15"/>
  <sheetData>
    <row r="1" spans="1:5" x14ac:dyDescent="0.15">
      <c r="B1" t="s">
        <v>20</v>
      </c>
      <c r="C1" t="s">
        <v>21</v>
      </c>
      <c r="D1" t="s">
        <v>22</v>
      </c>
      <c r="E1" t="s">
        <v>23</v>
      </c>
    </row>
    <row r="2" spans="1:5" x14ac:dyDescent="0.15">
      <c r="A2" t="s">
        <v>24</v>
      </c>
      <c r="B2">
        <v>30</v>
      </c>
      <c r="C2">
        <v>17</v>
      </c>
      <c r="D2">
        <v>16</v>
      </c>
      <c r="E2">
        <v>9</v>
      </c>
    </row>
    <row r="3" spans="1:5" x14ac:dyDescent="0.15">
      <c r="A3" t="s">
        <v>25</v>
      </c>
      <c r="B3">
        <v>54</v>
      </c>
      <c r="C3">
        <v>63</v>
      </c>
      <c r="D3">
        <v>69</v>
      </c>
      <c r="E3">
        <v>72</v>
      </c>
    </row>
    <row r="4" spans="1:5" x14ac:dyDescent="0.15">
      <c r="A4" t="s">
        <v>26</v>
      </c>
      <c r="B4">
        <v>16</v>
      </c>
      <c r="C4">
        <v>20</v>
      </c>
      <c r="D4">
        <v>15</v>
      </c>
      <c r="E4">
        <v>19</v>
      </c>
    </row>
  </sheetData>
  <phoneticPr fontId="4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7"/>
  <sheetViews>
    <sheetView workbookViewId="0">
      <selection activeCell="D38" sqref="D38"/>
    </sheetView>
  </sheetViews>
  <sheetFormatPr defaultColWidth="9" defaultRowHeight="13.5" x14ac:dyDescent="0.15"/>
  <sheetData>
    <row r="1" spans="1:6" x14ac:dyDescent="0.15">
      <c r="A1" s="11" t="s">
        <v>27</v>
      </c>
      <c r="B1" s="11"/>
      <c r="C1" s="11"/>
      <c r="D1" s="11"/>
      <c r="E1" s="11"/>
      <c r="F1" s="11"/>
    </row>
    <row r="2" spans="1:6" x14ac:dyDescent="0.15">
      <c r="B2" s="1" t="s">
        <v>28</v>
      </c>
      <c r="C2" s="1" t="s">
        <v>29</v>
      </c>
      <c r="D2" s="1" t="s">
        <v>30</v>
      </c>
      <c r="E2" s="1" t="s">
        <v>24</v>
      </c>
      <c r="F2" s="1" t="s">
        <v>31</v>
      </c>
    </row>
    <row r="3" spans="1:6" x14ac:dyDescent="0.15">
      <c r="A3" t="s">
        <v>32</v>
      </c>
      <c r="B3">
        <v>1.5</v>
      </c>
      <c r="C3">
        <v>5</v>
      </c>
      <c r="D3">
        <v>1.5</v>
      </c>
      <c r="E3">
        <v>2.5</v>
      </c>
      <c r="F3">
        <v>2</v>
      </c>
    </row>
    <row r="4" spans="1:6" x14ac:dyDescent="0.15">
      <c r="A4" t="s">
        <v>33</v>
      </c>
      <c r="B4">
        <v>5</v>
      </c>
      <c r="C4">
        <v>4.5</v>
      </c>
      <c r="D4">
        <v>4</v>
      </c>
      <c r="E4">
        <v>5</v>
      </c>
      <c r="F4">
        <v>4.5</v>
      </c>
    </row>
    <row r="5" spans="1:6" x14ac:dyDescent="0.15">
      <c r="A5" t="s">
        <v>34</v>
      </c>
      <c r="B5">
        <v>2.5</v>
      </c>
      <c r="C5">
        <v>5</v>
      </c>
      <c r="D5">
        <v>4.5</v>
      </c>
      <c r="E5">
        <v>4.5</v>
      </c>
      <c r="F5">
        <v>5</v>
      </c>
    </row>
    <row r="6" spans="1:6" x14ac:dyDescent="0.15">
      <c r="A6" t="s">
        <v>35</v>
      </c>
      <c r="B6">
        <v>4</v>
      </c>
      <c r="C6">
        <v>3.5</v>
      </c>
      <c r="D6">
        <v>4</v>
      </c>
      <c r="E6">
        <v>3</v>
      </c>
      <c r="F6">
        <v>3.5</v>
      </c>
    </row>
    <row r="7" spans="1:6" x14ac:dyDescent="0.15">
      <c r="A7" t="s">
        <v>36</v>
      </c>
      <c r="B7">
        <v>3</v>
      </c>
      <c r="C7">
        <v>3</v>
      </c>
      <c r="D7">
        <v>5</v>
      </c>
      <c r="E7">
        <v>3.5</v>
      </c>
      <c r="F7">
        <v>3</v>
      </c>
    </row>
  </sheetData>
  <mergeCells count="1">
    <mergeCell ref="A1:F1"/>
  </mergeCells>
  <phoneticPr fontId="4" type="noConversion"/>
  <pageMargins left="0.7" right="0.7" top="0.75" bottom="0.75" header="0.3" footer="0.3"/>
  <pageSetup paperSize="9" orientation="portrait" horizontalDpi="200" verticalDpi="30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22"/>
  <sheetViews>
    <sheetView tabSelected="1" workbookViewId="0">
      <selection activeCell="O4" sqref="O4"/>
    </sheetView>
  </sheetViews>
  <sheetFormatPr defaultColWidth="9" defaultRowHeight="13.5" x14ac:dyDescent="0.15"/>
  <cols>
    <col min="6" max="6" width="19.25" bestFit="1" customWidth="1"/>
    <col min="7" max="8" width="11" bestFit="1" customWidth="1"/>
  </cols>
  <sheetData>
    <row r="1" spans="1:9" x14ac:dyDescent="0.15">
      <c r="A1" s="11" t="s">
        <v>37</v>
      </c>
      <c r="B1" s="11"/>
      <c r="C1" s="11"/>
      <c r="D1" s="11"/>
      <c r="F1" s="6" t="s">
        <v>45</v>
      </c>
      <c r="G1" s="9" t="s">
        <v>47</v>
      </c>
      <c r="H1" s="9" t="s">
        <v>48</v>
      </c>
    </row>
    <row r="2" spans="1:9" x14ac:dyDescent="0.15">
      <c r="A2" t="s">
        <v>38</v>
      </c>
      <c r="B2" s="1" t="s">
        <v>39</v>
      </c>
      <c r="C2" s="1" t="s">
        <v>40</v>
      </c>
      <c r="D2" s="1" t="s">
        <v>41</v>
      </c>
      <c r="F2" s="7" t="s">
        <v>46</v>
      </c>
      <c r="G2" s="8">
        <v>3</v>
      </c>
      <c r="H2" s="8">
        <v>3</v>
      </c>
    </row>
    <row r="3" spans="1:9" x14ac:dyDescent="0.15">
      <c r="A3" t="s">
        <v>32</v>
      </c>
      <c r="B3" s="1">
        <v>5</v>
      </c>
      <c r="C3" s="1">
        <v>1</v>
      </c>
      <c r="D3" s="1">
        <v>5</v>
      </c>
    </row>
    <row r="4" spans="1:9" x14ac:dyDescent="0.15">
      <c r="A4" t="s">
        <v>33</v>
      </c>
      <c r="B4" s="1">
        <v>4</v>
      </c>
      <c r="C4" s="1">
        <v>4.5</v>
      </c>
      <c r="D4" s="1">
        <v>4</v>
      </c>
      <c r="F4" s="6" t="s">
        <v>52</v>
      </c>
      <c r="G4" s="9" t="s">
        <v>51</v>
      </c>
      <c r="H4" s="9" t="s">
        <v>53</v>
      </c>
      <c r="I4" s="9" t="s">
        <v>54</v>
      </c>
    </row>
    <row r="5" spans="1:9" x14ac:dyDescent="0.15">
      <c r="A5" t="s">
        <v>34</v>
      </c>
      <c r="B5" s="1">
        <v>5</v>
      </c>
      <c r="C5" s="1">
        <v>5</v>
      </c>
      <c r="D5" s="1">
        <v>4</v>
      </c>
      <c r="F5" s="6" t="s">
        <v>50</v>
      </c>
      <c r="G5" s="8">
        <v>0</v>
      </c>
      <c r="H5" s="8">
        <v>6</v>
      </c>
      <c r="I5" s="8">
        <v>1</v>
      </c>
    </row>
    <row r="6" spans="1:9" x14ac:dyDescent="0.15">
      <c r="A6" t="s">
        <v>35</v>
      </c>
      <c r="B6" s="1">
        <v>2.5</v>
      </c>
      <c r="C6" s="1">
        <v>4</v>
      </c>
      <c r="D6" s="1">
        <v>1</v>
      </c>
      <c r="F6" s="6" t="s">
        <v>55</v>
      </c>
      <c r="G6" s="8">
        <v>0</v>
      </c>
      <c r="H6" s="8">
        <v>6</v>
      </c>
      <c r="I6" s="8">
        <v>1</v>
      </c>
    </row>
    <row r="7" spans="1:9" x14ac:dyDescent="0.15">
      <c r="A7" t="s">
        <v>36</v>
      </c>
      <c r="B7" s="1">
        <v>1</v>
      </c>
      <c r="C7" s="1">
        <v>2</v>
      </c>
      <c r="D7" s="1">
        <v>3</v>
      </c>
    </row>
    <row r="8" spans="1:9" x14ac:dyDescent="0.15">
      <c r="A8" t="s">
        <v>42</v>
      </c>
      <c r="B8" s="1">
        <v>4.5</v>
      </c>
      <c r="C8" s="1">
        <v>3.5</v>
      </c>
      <c r="D8" s="1">
        <v>1</v>
      </c>
    </row>
    <row r="9" spans="1:9" x14ac:dyDescent="0.15">
      <c r="A9" t="s">
        <v>43</v>
      </c>
      <c r="B9" s="1">
        <v>2</v>
      </c>
      <c r="C9" s="1">
        <v>1</v>
      </c>
      <c r="D9" s="1">
        <v>1</v>
      </c>
    </row>
    <row r="10" spans="1:9" x14ac:dyDescent="0.15">
      <c r="A10" t="s">
        <v>44</v>
      </c>
      <c r="B10" s="1">
        <v>4</v>
      </c>
      <c r="C10" s="1">
        <v>2</v>
      </c>
      <c r="D10" s="1">
        <v>2</v>
      </c>
    </row>
    <row r="11" spans="1:9" x14ac:dyDescent="0.15">
      <c r="A11" s="5" t="s">
        <v>49</v>
      </c>
      <c r="B11" s="1">
        <f ca="1">RANDBETWEEN(0.5,5.5)</f>
        <v>5</v>
      </c>
      <c r="C11" s="1">
        <f t="shared" ref="C11:D22" ca="1" si="0">RANDBETWEEN(0.5,5.5)</f>
        <v>3</v>
      </c>
      <c r="D11" s="1">
        <f t="shared" ca="1" si="0"/>
        <v>3</v>
      </c>
    </row>
    <row r="12" spans="1:9" x14ac:dyDescent="0.15">
      <c r="A12" s="5"/>
      <c r="B12" s="1"/>
      <c r="C12" s="1"/>
      <c r="D12" s="1"/>
    </row>
    <row r="13" spans="1:9" x14ac:dyDescent="0.15">
      <c r="A13" s="5"/>
      <c r="B13" s="1"/>
      <c r="C13" s="1"/>
      <c r="D13" s="1"/>
    </row>
    <row r="14" spans="1:9" x14ac:dyDescent="0.15">
      <c r="A14" s="5"/>
      <c r="B14" s="1"/>
      <c r="C14" s="1"/>
      <c r="D14" s="1"/>
    </row>
    <row r="15" spans="1:9" x14ac:dyDescent="0.15">
      <c r="A15" s="5"/>
      <c r="B15" s="1"/>
      <c r="C15" s="1"/>
      <c r="D15" s="1"/>
    </row>
    <row r="16" spans="1:9" x14ac:dyDescent="0.15">
      <c r="A16" s="5"/>
      <c r="B16" s="1"/>
      <c r="C16" s="1"/>
      <c r="D16" s="1"/>
    </row>
    <row r="17" spans="1:4" x14ac:dyDescent="0.15">
      <c r="A17" s="5"/>
      <c r="B17" s="1"/>
      <c r="C17" s="1"/>
      <c r="D17" s="1"/>
    </row>
    <row r="18" spans="1:4" x14ac:dyDescent="0.15">
      <c r="A18" s="5"/>
      <c r="B18" s="1"/>
      <c r="C18" s="1"/>
      <c r="D18" s="1"/>
    </row>
    <row r="19" spans="1:4" x14ac:dyDescent="0.15">
      <c r="A19" s="5"/>
      <c r="B19" s="1"/>
      <c r="C19" s="1"/>
      <c r="D19" s="1"/>
    </row>
    <row r="20" spans="1:4" x14ac:dyDescent="0.15">
      <c r="A20" s="5"/>
      <c r="B20" s="1"/>
      <c r="C20" s="1"/>
      <c r="D20" s="1"/>
    </row>
    <row r="21" spans="1:4" x14ac:dyDescent="0.15">
      <c r="A21" s="5"/>
      <c r="B21" s="1"/>
      <c r="C21" s="1"/>
      <c r="D21" s="1"/>
    </row>
    <row r="22" spans="1:4" x14ac:dyDescent="0.15">
      <c r="A22" s="5"/>
      <c r="B22" s="1"/>
      <c r="C22" s="1"/>
      <c r="D22" s="1"/>
    </row>
  </sheetData>
  <mergeCells count="1">
    <mergeCell ref="A1:D1"/>
  </mergeCells>
  <phoneticPr fontId="2" type="noConversion"/>
  <pageMargins left="0.7" right="0.7" top="0.75" bottom="0.75" header="0.3" footer="0.3"/>
  <pageSetup paperSize="9" orientation="portrait" horizontalDpi="2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reateBubbleChartWithName">
                <anchor moveWithCells="1" sizeWithCells="1">
                  <from>
                    <xdr:col>9</xdr:col>
                    <xdr:colOff>95250</xdr:colOff>
                    <xdr:row>4</xdr:row>
                    <xdr:rowOff>28575</xdr:rowOff>
                  </from>
                  <to>
                    <xdr:col>10</xdr:col>
                    <xdr:colOff>619125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频数图</vt:lpstr>
      <vt:lpstr>饼图</vt:lpstr>
      <vt:lpstr>柱图</vt:lpstr>
      <vt:lpstr>雷达图</vt:lpstr>
      <vt:lpstr>气泡图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丁毅</dc:creator>
  <cp:lastModifiedBy>毅 丁</cp:lastModifiedBy>
  <dcterms:created xsi:type="dcterms:W3CDTF">2006-09-13T11:21:00Z</dcterms:created>
  <dcterms:modified xsi:type="dcterms:W3CDTF">2024-03-14T01:17:16Z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D141F580398C43E7BE3D8D000C779CF6_12</vt:lpwstr>
  </property>
  <property fmtid="{D5CDD505-2E9C-101B-9397-08002B2CF9AE}" pid="3" name="KSOProductBuildVer">
    <vt:lpwstr>2052-12.1.0.16364</vt:lpwstr>
  </property>
</Properties>
</file>